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ddiq" sheetId="1" state="visible" r:id="rId1"/>
    <sheet xmlns:r="http://schemas.openxmlformats.org/officeDocument/2006/relationships" name="Zayyan" sheetId="2" state="visible" r:id="rId2"/>
    <sheet xmlns:r="http://schemas.openxmlformats.org/officeDocument/2006/relationships" name="Fahima" sheetId="3" state="visible" r:id="rId3"/>
    <sheet xmlns:r="http://schemas.openxmlformats.org/officeDocument/2006/relationships" name="Combined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2" customWidth="1" min="1" max="1"/>
    <col width="33" customWidth="1" min="2" max="2"/>
    <col width="10" customWidth="1" min="3" max="3"/>
    <col width="13" customWidth="1" min="4" max="4"/>
    <col width="17" customWidth="1" min="5" max="5"/>
    <col width="10" customWidth="1" min="6" max="6"/>
    <col width="10" customWidth="1" min="7" max="7"/>
    <col width="10" customWidth="1" min="8" max="8"/>
  </cols>
  <sheetData>
    <row r="1">
      <c r="A1" t="inlineStr">
        <is>
          <t>Zakat Calculator - Siddiq</t>
        </is>
      </c>
    </row>
    <row r="2">
      <c r="A2" t="inlineStr">
        <is>
          <t>Exported: 3/2/2026, 5:28:29 PM</t>
        </is>
      </c>
    </row>
    <row r="3">
      <c r="A3" t="inlineStr">
        <is>
          <t>Currency: EUR</t>
        </is>
      </c>
    </row>
    <row r="4"/>
    <row r="5">
      <c r="A5">
        <f>== ETFs ===</f>
        <v/>
      </c>
    </row>
    <row r="6">
      <c r="A6" t="inlineStr">
        <is>
          <t>Symbol</t>
        </is>
      </c>
      <c r="B6" t="inlineStr">
        <is>
          <t>Name</t>
        </is>
      </c>
      <c r="C6" t="inlineStr">
        <is>
          <t>Units</t>
        </is>
      </c>
      <c r="D6" t="inlineStr">
        <is>
          <t>Avg Price</t>
        </is>
      </c>
      <c r="E6" t="inlineStr">
        <is>
          <t>Current Price</t>
        </is>
      </c>
      <c r="F6" t="inlineStr">
        <is>
          <t>Value</t>
        </is>
      </c>
      <c r="G6" t="inlineStr">
        <is>
          <t>Profit</t>
        </is>
      </c>
      <c r="H6" t="inlineStr">
        <is>
          <t>Currency</t>
        </is>
      </c>
    </row>
    <row r="7">
      <c r="A7" t="inlineStr">
        <is>
          <t>IE0009JOT9U1.SG</t>
        </is>
      </c>
      <c r="B7" t="inlineStr">
        <is>
          <t>iShares Physical Gold EUR Hedge</t>
        </is>
      </c>
      <c r="C7" t="n">
        <v>56</v>
      </c>
      <c r="D7" t="n">
        <v>72.45999999999999</v>
      </c>
      <c r="E7" t="n">
        <v>93.84</v>
      </c>
      <c r="F7" t="n">
        <v>5255.04</v>
      </c>
      <c r="G7" t="n">
        <v>1197.28</v>
      </c>
      <c r="H7" t="inlineStr">
        <is>
          <t>EUR</t>
        </is>
      </c>
    </row>
    <row r="8">
      <c r="A8" t="inlineStr">
        <is>
          <t>PPFD.SG</t>
        </is>
      </c>
      <c r="B8" t="inlineStr">
        <is>
          <t>iShares Physical Silver ETC</t>
        </is>
      </c>
      <c r="C8" t="n">
        <v>2</v>
      </c>
      <c r="D8" t="n">
        <v>89.43000000000001</v>
      </c>
      <c r="E8" t="n">
        <v>73.45</v>
      </c>
      <c r="F8" t="n">
        <v>146.9</v>
      </c>
      <c r="G8" t="n">
        <v>-31.96</v>
      </c>
      <c r="H8" t="inlineStr">
        <is>
          <t>EUR</t>
        </is>
      </c>
    </row>
    <row r="9"/>
    <row r="10">
      <c r="A10">
        <f>== Stocks ===</f>
        <v/>
      </c>
    </row>
    <row r="11">
      <c r="A11" t="inlineStr">
        <is>
          <t>Symbol</t>
        </is>
      </c>
      <c r="B11" t="inlineStr">
        <is>
          <t>Name</t>
        </is>
      </c>
      <c r="C11" t="inlineStr">
        <is>
          <t>Units</t>
        </is>
      </c>
      <c r="D11" t="inlineStr">
        <is>
          <t>Avg Price</t>
        </is>
      </c>
      <c r="E11" t="inlineStr">
        <is>
          <t>Current Price</t>
        </is>
      </c>
      <c r="F11" t="inlineStr">
        <is>
          <t>Value</t>
        </is>
      </c>
      <c r="G11" t="inlineStr">
        <is>
          <t>Profit</t>
        </is>
      </c>
      <c r="H11" t="inlineStr">
        <is>
          <t>Currency</t>
        </is>
      </c>
    </row>
    <row r="12">
      <c r="A12" t="inlineStr">
        <is>
          <t>AMZN</t>
        </is>
      </c>
      <c r="B12" t="inlineStr">
        <is>
          <t>Amazon.com, Inc.</t>
        </is>
      </c>
      <c r="C12" t="n">
        <v>3</v>
      </c>
      <c r="D12" t="n">
        <v>168.76</v>
      </c>
      <c r="E12" t="n">
        <v>177.55</v>
      </c>
      <c r="F12" t="n">
        <v>532.64</v>
      </c>
      <c r="G12" t="n">
        <v>26.36</v>
      </c>
      <c r="H12" t="inlineStr">
        <is>
          <t>EUR</t>
        </is>
      </c>
    </row>
    <row r="13">
      <c r="A13" t="inlineStr">
        <is>
          <t>AAPL</t>
        </is>
      </c>
      <c r="B13" t="inlineStr">
        <is>
          <t>Apple Inc.</t>
        </is>
      </c>
      <c r="C13" t="n">
        <v>2</v>
      </c>
      <c r="D13" t="n">
        <v>170.92</v>
      </c>
      <c r="E13" t="n">
        <v>226.59</v>
      </c>
      <c r="F13" t="n">
        <v>453.18</v>
      </c>
      <c r="G13" t="n">
        <v>111.34</v>
      </c>
      <c r="H13" t="inlineStr">
        <is>
          <t>EUR</t>
        </is>
      </c>
    </row>
    <row r="14">
      <c r="A14" t="inlineStr">
        <is>
          <t>NVDA</t>
        </is>
      </c>
      <c r="B14" t="inlineStr">
        <is>
          <t>NVIDIA Corporation</t>
        </is>
      </c>
      <c r="C14" t="n">
        <v>4</v>
      </c>
      <c r="D14" t="n">
        <v>120</v>
      </c>
      <c r="E14" t="n">
        <v>154.94</v>
      </c>
      <c r="F14" t="n">
        <v>619.74</v>
      </c>
      <c r="G14" t="n">
        <v>139.74</v>
      </c>
      <c r="H14" t="inlineStr">
        <is>
          <t>EUR</t>
        </is>
      </c>
    </row>
    <row r="15">
      <c r="A15" t="inlineStr">
        <is>
          <t>PG</t>
        </is>
      </c>
      <c r="B15" t="inlineStr">
        <is>
          <t>Procter &amp; Gamble Company (The)</t>
        </is>
      </c>
      <c r="C15" t="n">
        <v>4</v>
      </c>
      <c r="D15" t="n">
        <v>149.42</v>
      </c>
      <c r="E15" t="n">
        <v>141.03</v>
      </c>
      <c r="F15" t="n">
        <v>564.11</v>
      </c>
      <c r="G15" t="n">
        <v>-33.57</v>
      </c>
      <c r="H15" t="inlineStr">
        <is>
          <t>EUR</t>
        </is>
      </c>
    </row>
    <row r="16">
      <c r="A16" t="inlineStr">
        <is>
          <t>TPE.DE</t>
        </is>
      </c>
      <c r="B16" t="inlineStr">
        <is>
          <t>PVA TePla AG</t>
        </is>
      </c>
      <c r="C16" t="n">
        <v>23</v>
      </c>
      <c r="D16" t="n">
        <v>26.25</v>
      </c>
      <c r="E16" t="n">
        <v>27.52</v>
      </c>
      <c r="F16" t="n">
        <v>632.96</v>
      </c>
      <c r="G16" t="n">
        <v>29.21</v>
      </c>
      <c r="H16" t="inlineStr">
        <is>
          <t>EUR</t>
        </is>
      </c>
    </row>
    <row r="17">
      <c r="A17" t="inlineStr">
        <is>
          <t>SHL.DE</t>
        </is>
      </c>
      <c r="B17" t="inlineStr">
        <is>
          <t>Siemens Healthineers AG</t>
        </is>
      </c>
      <c r="C17" t="n">
        <v>10</v>
      </c>
      <c r="D17" t="n">
        <v>53.82</v>
      </c>
      <c r="E17" t="n">
        <v>41.24</v>
      </c>
      <c r="F17" t="n">
        <v>412.4</v>
      </c>
      <c r="G17" t="n">
        <v>-125.8</v>
      </c>
      <c r="H17" t="inlineStr">
        <is>
          <t>EUR</t>
        </is>
      </c>
    </row>
    <row r="18">
      <c r="A18" t="inlineStr">
        <is>
          <t>ZETA</t>
        </is>
      </c>
      <c r="B18" t="inlineStr">
        <is>
          <t>Zeta Global Holdings Corp.</t>
        </is>
      </c>
      <c r="C18" t="n">
        <v>25</v>
      </c>
      <c r="D18" t="n">
        <v>16.5</v>
      </c>
      <c r="E18" t="n">
        <v>14.79</v>
      </c>
      <c r="F18" t="n">
        <v>369.86</v>
      </c>
      <c r="G18" t="n">
        <v>-42.64</v>
      </c>
      <c r="H18" t="inlineStr">
        <is>
          <t>EUR</t>
        </is>
      </c>
    </row>
    <row r="19"/>
    <row r="20">
      <c r="A20">
        <f>== Crypto ===</f>
        <v/>
      </c>
    </row>
    <row r="21">
      <c r="A21" t="inlineStr">
        <is>
          <t>Symbol</t>
        </is>
      </c>
      <c r="B21" t="inlineStr">
        <is>
          <t>Name</t>
        </is>
      </c>
      <c r="C21" t="inlineStr">
        <is>
          <t>Units</t>
        </is>
      </c>
      <c r="D21" t="inlineStr">
        <is>
          <t>Avg Price</t>
        </is>
      </c>
      <c r="E21" t="inlineStr">
        <is>
          <t>Current Price</t>
        </is>
      </c>
      <c r="F21" t="inlineStr">
        <is>
          <t>Value</t>
        </is>
      </c>
      <c r="G21" t="inlineStr">
        <is>
          <t>Profit</t>
        </is>
      </c>
      <c r="H21" t="inlineStr">
        <is>
          <t>Currency</t>
        </is>
      </c>
    </row>
    <row r="22">
      <c r="A22" t="inlineStr">
        <is>
          <t>GB00BNRRFY34.SG</t>
        </is>
      </c>
      <c r="B22" t="inlineStr">
        <is>
          <t>CoinShares Physical Staked Sola</t>
        </is>
      </c>
      <c r="C22" t="n">
        <v>38</v>
      </c>
      <c r="D22" t="n">
        <v>7.78</v>
      </c>
      <c r="E22" t="n">
        <v>8.539999999999999</v>
      </c>
      <c r="F22" t="n">
        <v>324.54</v>
      </c>
      <c r="G22" t="n">
        <v>28.9</v>
      </c>
      <c r="H22" t="inlineStr">
        <is>
          <t>EUR</t>
        </is>
      </c>
    </row>
    <row r="23"/>
    <row r="24">
      <c r="A24">
        <f>== Physical Gold ===</f>
        <v/>
      </c>
    </row>
    <row r="25">
      <c r="A25" t="inlineStr">
        <is>
          <t>Description</t>
        </is>
      </c>
      <c r="B25" t="inlineStr">
        <is>
          <t>Weight (g)</t>
        </is>
      </c>
      <c r="C25" t="inlineStr">
        <is>
          <t>Karat</t>
        </is>
      </c>
      <c r="D25" t="inlineStr">
        <is>
          <t>Buy Price/g</t>
        </is>
      </c>
      <c r="E25" t="inlineStr">
        <is>
          <t>Current Price/g</t>
        </is>
      </c>
      <c r="F25" t="inlineStr">
        <is>
          <t>Value</t>
        </is>
      </c>
      <c r="G25" t="inlineStr">
        <is>
          <t>Profit</t>
        </is>
      </c>
      <c r="H25" t="inlineStr">
        <is>
          <t>Currency</t>
        </is>
      </c>
    </row>
    <row r="26">
      <c r="A26" t="inlineStr">
        <is>
          <t>coins</t>
        </is>
      </c>
      <c r="B26" t="n">
        <v>51</v>
      </c>
      <c r="C26" t="inlineStr">
        <is>
          <t>22K</t>
        </is>
      </c>
      <c r="D26" t="n">
        <v>63</v>
      </c>
      <c r="E26" t="n">
        <v>133.56</v>
      </c>
      <c r="F26" t="n">
        <v>6811.47</v>
      </c>
      <c r="G26" t="n">
        <v>3598.47</v>
      </c>
      <c r="H26" t="inlineStr">
        <is>
          <t>EUR</t>
        </is>
      </c>
    </row>
    <row r="27"/>
    <row r="28">
      <c r="A28">
        <f>== Cash &amp; Other ===</f>
        <v/>
      </c>
    </row>
    <row r="29">
      <c r="A29" t="inlineStr">
        <is>
          <t>Description</t>
        </is>
      </c>
      <c r="B29" t="inlineStr">
        <is>
          <t>Amount</t>
        </is>
      </c>
      <c r="C29" t="inlineStr">
        <is>
          <t>Currency</t>
        </is>
      </c>
    </row>
    <row r="30">
      <c r="A30" t="inlineStr">
        <is>
          <t>n26</t>
        </is>
      </c>
      <c r="B30" t="n">
        <v>8600</v>
      </c>
      <c r="C30" t="inlineStr">
        <is>
          <t>EUR</t>
        </is>
      </c>
    </row>
    <row r="31">
      <c r="A31" t="inlineStr">
        <is>
          <t>kisna</t>
        </is>
      </c>
      <c r="B31" t="n">
        <v>1000</v>
      </c>
      <c r="C31" t="inlineStr">
        <is>
          <t>EUR</t>
        </is>
      </c>
    </row>
    <row r="32">
      <c r="A32" t="inlineStr">
        <is>
          <t>revolut</t>
        </is>
      </c>
      <c r="B32" t="n">
        <v>250</v>
      </c>
      <c r="C32" t="inlineStr">
        <is>
          <t>EUR</t>
        </is>
      </c>
    </row>
    <row r="33">
      <c r="A33" t="inlineStr">
        <is>
          <t>india</t>
        </is>
      </c>
      <c r="B33" t="n">
        <v>300</v>
      </c>
      <c r="C33" t="inlineStr">
        <is>
          <t>EUR</t>
        </is>
      </c>
    </row>
    <row r="34"/>
    <row r="35">
      <c r="A35">
        <f>== Liabilities ===</f>
        <v/>
      </c>
    </row>
    <row r="36">
      <c r="A36" t="inlineStr">
        <is>
          <t>Description</t>
        </is>
      </c>
      <c r="B36" t="inlineStr">
        <is>
          <t>Amount</t>
        </is>
      </c>
      <c r="C36" t="inlineStr">
        <is>
          <t>Currency</t>
        </is>
      </c>
    </row>
    <row r="37">
      <c r="A37" t="inlineStr">
        <is>
          <t>rent</t>
        </is>
      </c>
      <c r="B37" t="n">
        <v>1040</v>
      </c>
      <c r="C37" t="inlineStr">
        <is>
          <t>EUR</t>
        </is>
      </c>
    </row>
    <row r="38">
      <c r="A38" t="inlineStr">
        <is>
          <t>expense</t>
        </is>
      </c>
      <c r="B38" t="n">
        <v>1000</v>
      </c>
      <c r="C38" t="inlineStr">
        <is>
          <t>EUR</t>
        </is>
      </c>
    </row>
    <row r="39"/>
    <row r="40">
      <c r="A40">
        <f>== Summary ===</f>
        <v/>
      </c>
    </row>
    <row r="41">
      <c r="A41" t="inlineStr">
        <is>
          <t>Category</t>
        </is>
      </c>
      <c r="B41" t="inlineStr">
        <is>
          <t>Value</t>
        </is>
      </c>
      <c r="C41" t="inlineStr">
        <is>
          <t>Currency</t>
        </is>
      </c>
    </row>
    <row r="42">
      <c r="A42" t="inlineStr">
        <is>
          <t>ETFs</t>
        </is>
      </c>
      <c r="B42" t="n">
        <v>5401.94</v>
      </c>
      <c r="C42" t="inlineStr">
        <is>
          <t>EUR</t>
        </is>
      </c>
    </row>
    <row r="43">
      <c r="A43" t="inlineStr">
        <is>
          <t>Crypto</t>
        </is>
      </c>
      <c r="B43" t="n">
        <v>324.54</v>
      </c>
      <c r="C43" t="inlineStr">
        <is>
          <t>EUR</t>
        </is>
      </c>
    </row>
    <row r="44">
      <c r="A44" t="inlineStr">
        <is>
          <t>Stocks</t>
        </is>
      </c>
      <c r="B44" t="n">
        <v>3584.89</v>
      </c>
      <c r="C44" t="inlineStr">
        <is>
          <t>EUR</t>
        </is>
      </c>
    </row>
    <row r="45">
      <c r="A45" t="inlineStr">
        <is>
          <t>Physical Gold</t>
        </is>
      </c>
      <c r="B45" t="n">
        <v>6811.47</v>
      </c>
      <c r="C45" t="inlineStr">
        <is>
          <t>EUR</t>
        </is>
      </c>
    </row>
    <row r="46">
      <c r="A46" t="inlineStr">
        <is>
          <t>Physical Silver</t>
        </is>
      </c>
      <c r="B46" t="n">
        <v>0</v>
      </c>
      <c r="C46" t="inlineStr">
        <is>
          <t>EUR</t>
        </is>
      </c>
    </row>
    <row r="47">
      <c r="A47" t="inlineStr">
        <is>
          <t>Cash &amp; Other</t>
        </is>
      </c>
      <c r="B47" t="n">
        <v>10150</v>
      </c>
      <c r="C47" t="inlineStr">
        <is>
          <t>EUR</t>
        </is>
      </c>
    </row>
    <row r="48">
      <c r="A48" t="inlineStr">
        <is>
          <t>Total Assets</t>
        </is>
      </c>
      <c r="B48" t="n">
        <v>26272.84</v>
      </c>
      <c r="C48" t="inlineStr">
        <is>
          <t>EUR</t>
        </is>
      </c>
    </row>
    <row r="49">
      <c r="A49" t="inlineStr">
        <is>
          <t>Liabilities</t>
        </is>
      </c>
      <c r="B49" t="n">
        <v>2040</v>
      </c>
      <c r="C49" t="inlineStr">
        <is>
          <t>EUR</t>
        </is>
      </c>
    </row>
    <row r="50">
      <c r="A50" t="inlineStr">
        <is>
          <t>Net Wealth</t>
        </is>
      </c>
      <c r="B50" t="n">
        <v>24232.84</v>
      </c>
      <c r="C50" t="inlineStr">
        <is>
          <t>EUR</t>
        </is>
      </c>
    </row>
    <row r="51">
      <c r="A51" t="inlineStr">
        <is>
          <t>Nisab Threshold</t>
        </is>
      </c>
      <c r="B51" t="n">
        <v>12745.84</v>
      </c>
      <c r="C51" t="inlineStr">
        <is>
          <t>EUR</t>
        </is>
      </c>
    </row>
    <row r="52">
      <c r="A52" t="inlineStr">
        <is>
          <t>Above Nisab?</t>
        </is>
      </c>
      <c r="B52" t="inlineStr">
        <is>
          <t>Yes</t>
        </is>
      </c>
    </row>
    <row r="53">
      <c r="A53" t="inlineStr">
        <is>
          <t>Zakat Due (2.5%)</t>
        </is>
      </c>
      <c r="B53" t="n">
        <v>605.8200000000001</v>
      </c>
      <c r="C53" t="inlineStr">
        <is>
          <t>EUR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2" customWidth="1" min="1" max="1"/>
    <col width="33" customWidth="1" min="2" max="2"/>
    <col width="12" customWidth="1" min="3" max="3"/>
    <col width="13" customWidth="1" min="4" max="4"/>
    <col width="17" customWidth="1" min="5" max="5"/>
    <col width="10" customWidth="1" min="6" max="6"/>
    <col width="10" customWidth="1" min="7" max="7"/>
    <col width="10" customWidth="1" min="8" max="8"/>
  </cols>
  <sheetData>
    <row r="1">
      <c r="A1" t="inlineStr">
        <is>
          <t>Zakat Calculator - Zayyan</t>
        </is>
      </c>
    </row>
    <row r="2">
      <c r="A2" t="inlineStr">
        <is>
          <t>Exported: 3/2/2026, 5:28:29 PM</t>
        </is>
      </c>
    </row>
    <row r="3">
      <c r="A3" t="inlineStr">
        <is>
          <t>Currency: EUR</t>
        </is>
      </c>
    </row>
    <row r="4"/>
    <row r="5">
      <c r="A5">
        <f>== ETFs ===</f>
        <v/>
      </c>
    </row>
    <row r="6">
      <c r="A6" t="inlineStr">
        <is>
          <t>Symbol</t>
        </is>
      </c>
      <c r="B6" t="inlineStr">
        <is>
          <t>Name</t>
        </is>
      </c>
      <c r="C6" t="inlineStr">
        <is>
          <t>Units</t>
        </is>
      </c>
      <c r="D6" t="inlineStr">
        <is>
          <t>Avg Price</t>
        </is>
      </c>
      <c r="E6" t="inlineStr">
        <is>
          <t>Current Price</t>
        </is>
      </c>
      <c r="F6" t="inlineStr">
        <is>
          <t>Value</t>
        </is>
      </c>
      <c r="G6" t="inlineStr">
        <is>
          <t>Profit</t>
        </is>
      </c>
      <c r="H6" t="inlineStr">
        <is>
          <t>Currency</t>
        </is>
      </c>
    </row>
    <row r="7">
      <c r="A7" t="inlineStr">
        <is>
          <t>IE0009JOT9U1.SG</t>
        </is>
      </c>
      <c r="B7" t="inlineStr">
        <is>
          <t>iShares Physical Gold EUR Hedge</t>
        </is>
      </c>
      <c r="C7" t="n">
        <v>10</v>
      </c>
      <c r="D7" t="n">
        <v>81.68000000000001</v>
      </c>
      <c r="E7" t="n">
        <v>93.84</v>
      </c>
      <c r="F7" t="n">
        <v>938.4</v>
      </c>
      <c r="G7" t="n">
        <v>121.6</v>
      </c>
      <c r="H7" t="inlineStr">
        <is>
          <t>EUR</t>
        </is>
      </c>
    </row>
    <row r="8">
      <c r="A8" t="inlineStr">
        <is>
          <t>ISWD.SW</t>
        </is>
      </c>
      <c r="B8" t="inlineStr">
        <is>
          <t>iSh MSCI Wld Islamic USD D</t>
        </is>
      </c>
      <c r="C8" t="n">
        <v>10</v>
      </c>
      <c r="D8" t="n">
        <v>49.2</v>
      </c>
      <c r="E8" t="n">
        <v>52.16</v>
      </c>
      <c r="F8" t="n">
        <v>521.63</v>
      </c>
      <c r="G8" t="n">
        <v>29.59</v>
      </c>
      <c r="H8" t="inlineStr">
        <is>
          <t>EUR</t>
        </is>
      </c>
    </row>
    <row r="9"/>
    <row r="10">
      <c r="A10">
        <f>== Physical Gold ===</f>
        <v/>
      </c>
    </row>
    <row r="11">
      <c r="A11" t="inlineStr">
        <is>
          <t>Description</t>
        </is>
      </c>
      <c r="B11" t="inlineStr">
        <is>
          <t>Weight (g)</t>
        </is>
      </c>
      <c r="C11" t="inlineStr">
        <is>
          <t>Karat</t>
        </is>
      </c>
      <c r="D11" t="inlineStr">
        <is>
          <t>Buy Price/g</t>
        </is>
      </c>
      <c r="E11" t="inlineStr">
        <is>
          <t>Current Price/g</t>
        </is>
      </c>
      <c r="F11" t="inlineStr">
        <is>
          <t>Value</t>
        </is>
      </c>
      <c r="G11" t="inlineStr">
        <is>
          <t>Profit</t>
        </is>
      </c>
      <c r="H11" t="inlineStr">
        <is>
          <t>Currency</t>
        </is>
      </c>
    </row>
    <row r="12">
      <c r="A12" t="inlineStr">
        <is>
          <t>jewels</t>
        </is>
      </c>
      <c r="B12" t="n">
        <v>60</v>
      </c>
      <c r="C12" t="inlineStr">
        <is>
          <t>22K</t>
        </is>
      </c>
      <c r="D12" t="n">
        <v>110</v>
      </c>
      <c r="E12" t="n">
        <v>133.56</v>
      </c>
      <c r="F12" t="n">
        <v>8013.5</v>
      </c>
      <c r="G12" t="n">
        <v>1413.5</v>
      </c>
      <c r="H12" t="inlineStr">
        <is>
          <t>EUR</t>
        </is>
      </c>
    </row>
    <row r="13"/>
    <row r="14">
      <c r="A14">
        <f>== Physical Silver ===</f>
        <v/>
      </c>
    </row>
    <row r="15">
      <c r="A15" t="inlineStr">
        <is>
          <t>Description</t>
        </is>
      </c>
      <c r="B15" t="inlineStr">
        <is>
          <t>Weight (g)</t>
        </is>
      </c>
      <c r="C15" t="inlineStr">
        <is>
          <t>Purity (%)</t>
        </is>
      </c>
      <c r="D15" t="inlineStr">
        <is>
          <t>Buy Price/g</t>
        </is>
      </c>
      <c r="E15" t="inlineStr">
        <is>
          <t>Current Price/g</t>
        </is>
      </c>
      <c r="F15" t="inlineStr">
        <is>
          <t>Value</t>
        </is>
      </c>
      <c r="G15" t="inlineStr">
        <is>
          <t>Profit</t>
        </is>
      </c>
      <c r="H15" t="inlineStr">
        <is>
          <t>Currency</t>
        </is>
      </c>
    </row>
    <row r="16">
      <c r="A16" t="inlineStr">
        <is>
          <t>jewels</t>
        </is>
      </c>
      <c r="B16" t="n">
        <v>201</v>
      </c>
      <c r="C16" t="n">
        <v>99.90000000000001</v>
      </c>
      <c r="D16" t="n">
        <v>1</v>
      </c>
      <c r="E16" t="n">
        <v>2.41</v>
      </c>
      <c r="F16" t="n">
        <v>483.93</v>
      </c>
      <c r="G16" t="n">
        <v>282.93</v>
      </c>
      <c r="H16" t="inlineStr">
        <is>
          <t>EUR</t>
        </is>
      </c>
    </row>
    <row r="17"/>
    <row r="18">
      <c r="A18">
        <f>== Summary ===</f>
        <v/>
      </c>
    </row>
    <row r="19">
      <c r="A19" t="inlineStr">
        <is>
          <t>Category</t>
        </is>
      </c>
      <c r="B19" t="inlineStr">
        <is>
          <t>Value</t>
        </is>
      </c>
      <c r="C19" t="inlineStr">
        <is>
          <t>Currency</t>
        </is>
      </c>
    </row>
    <row r="20">
      <c r="A20" t="inlineStr">
        <is>
          <t>ETFs</t>
        </is>
      </c>
      <c r="B20" t="n">
        <v>1460.03</v>
      </c>
      <c r="C20" t="inlineStr">
        <is>
          <t>EUR</t>
        </is>
      </c>
    </row>
    <row r="21">
      <c r="A21" t="inlineStr">
        <is>
          <t>Crypto</t>
        </is>
      </c>
      <c r="B21" t="n">
        <v>0</v>
      </c>
      <c r="C21" t="inlineStr">
        <is>
          <t>EUR</t>
        </is>
      </c>
    </row>
    <row r="22">
      <c r="A22" t="inlineStr">
        <is>
          <t>Stocks</t>
        </is>
      </c>
      <c r="B22" t="n">
        <v>0</v>
      </c>
      <c r="C22" t="inlineStr">
        <is>
          <t>EUR</t>
        </is>
      </c>
    </row>
    <row r="23">
      <c r="A23" t="inlineStr">
        <is>
          <t>Physical Gold</t>
        </is>
      </c>
      <c r="B23" t="n">
        <v>8013.5</v>
      </c>
      <c r="C23" t="inlineStr">
        <is>
          <t>EUR</t>
        </is>
      </c>
    </row>
    <row r="24">
      <c r="A24" t="inlineStr">
        <is>
          <t>Physical Silver</t>
        </is>
      </c>
      <c r="B24" t="n">
        <v>483.93</v>
      </c>
      <c r="C24" t="inlineStr">
        <is>
          <t>EUR</t>
        </is>
      </c>
    </row>
    <row r="25">
      <c r="A25" t="inlineStr">
        <is>
          <t>Cash &amp; Other</t>
        </is>
      </c>
      <c r="B25" t="n">
        <v>0</v>
      </c>
      <c r="C25" t="inlineStr">
        <is>
          <t>EUR</t>
        </is>
      </c>
    </row>
    <row r="26">
      <c r="A26" t="inlineStr">
        <is>
          <t>Total Assets</t>
        </is>
      </c>
      <c r="B26" t="n">
        <v>9957.450000000001</v>
      </c>
      <c r="C26" t="inlineStr">
        <is>
          <t>EUR</t>
        </is>
      </c>
    </row>
    <row r="27">
      <c r="A27" t="inlineStr">
        <is>
          <t>Liabilities</t>
        </is>
      </c>
      <c r="B27" t="n">
        <v>0</v>
      </c>
      <c r="C27" t="inlineStr">
        <is>
          <t>EUR</t>
        </is>
      </c>
    </row>
    <row r="28">
      <c r="A28" t="inlineStr">
        <is>
          <t>Net Wealth</t>
        </is>
      </c>
      <c r="B28" t="n">
        <v>9957.450000000001</v>
      </c>
      <c r="C28" t="inlineStr">
        <is>
          <t>EUR</t>
        </is>
      </c>
    </row>
    <row r="29">
      <c r="A29" t="inlineStr">
        <is>
          <t>Nisab Threshold</t>
        </is>
      </c>
      <c r="B29" t="n">
        <v>12745.84</v>
      </c>
      <c r="C29" t="inlineStr">
        <is>
          <t>EUR</t>
        </is>
      </c>
    </row>
    <row r="30">
      <c r="A30" t="inlineStr">
        <is>
          <t>Above Nisab?</t>
        </is>
      </c>
      <c r="B30" t="inlineStr">
        <is>
          <t>No</t>
        </is>
      </c>
    </row>
    <row r="31">
      <c r="A31" t="inlineStr">
        <is>
          <t>Zakat Due (2.5%)</t>
        </is>
      </c>
      <c r="B31" t="n">
        <v>0</v>
      </c>
      <c r="C31" t="inlineStr">
        <is>
          <t>EUR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32" customWidth="1" min="1" max="1"/>
    <col width="33" customWidth="1" min="2" max="2"/>
    <col width="12" customWidth="1" min="3" max="3"/>
    <col width="13" customWidth="1" min="4" max="4"/>
    <col width="17" customWidth="1" min="5" max="5"/>
    <col width="11" customWidth="1" min="6" max="6"/>
    <col width="10" customWidth="1" min="7" max="7"/>
    <col width="10" customWidth="1" min="8" max="8"/>
  </cols>
  <sheetData>
    <row r="1">
      <c r="A1" t="inlineStr">
        <is>
          <t>Zakat Calculator - Fahima</t>
        </is>
      </c>
    </row>
    <row r="2">
      <c r="A2" t="inlineStr">
        <is>
          <t>Exported: 3/2/2026, 5:28:29 PM</t>
        </is>
      </c>
    </row>
    <row r="3">
      <c r="A3" t="inlineStr">
        <is>
          <t>Currency: EUR</t>
        </is>
      </c>
    </row>
    <row r="4"/>
    <row r="5">
      <c r="A5">
        <f>== ETFs ===</f>
        <v/>
      </c>
    </row>
    <row r="6">
      <c r="A6" t="inlineStr">
        <is>
          <t>Symbol</t>
        </is>
      </c>
      <c r="B6" t="inlineStr">
        <is>
          <t>Name</t>
        </is>
      </c>
      <c r="C6" t="inlineStr">
        <is>
          <t>Units</t>
        </is>
      </c>
      <c r="D6" t="inlineStr">
        <is>
          <t>Avg Price</t>
        </is>
      </c>
      <c r="E6" t="inlineStr">
        <is>
          <t>Current Price</t>
        </is>
      </c>
      <c r="F6" t="inlineStr">
        <is>
          <t>Value</t>
        </is>
      </c>
      <c r="G6" t="inlineStr">
        <is>
          <t>Profit</t>
        </is>
      </c>
      <c r="H6" t="inlineStr">
        <is>
          <t>Currency</t>
        </is>
      </c>
    </row>
    <row r="7">
      <c r="A7" t="inlineStr">
        <is>
          <t>IE0009JOT9U1.SG</t>
        </is>
      </c>
      <c r="B7" t="inlineStr">
        <is>
          <t>iShares Physical Gold EUR Hedge</t>
        </is>
      </c>
      <c r="C7" t="n">
        <v>24</v>
      </c>
      <c r="D7" t="n">
        <v>81.93000000000001</v>
      </c>
      <c r="E7" t="n">
        <v>93.84</v>
      </c>
      <c r="F7" t="n">
        <v>2252.16</v>
      </c>
      <c r="G7" t="n">
        <v>285.84</v>
      </c>
      <c r="H7" t="inlineStr">
        <is>
          <t>EUR</t>
        </is>
      </c>
    </row>
    <row r="8"/>
    <row r="9">
      <c r="A9">
        <f>== Physical Gold ===</f>
        <v/>
      </c>
    </row>
    <row r="10">
      <c r="A10" t="inlineStr">
        <is>
          <t>Description</t>
        </is>
      </c>
      <c r="B10" t="inlineStr">
        <is>
          <t>Weight (g)</t>
        </is>
      </c>
      <c r="C10" t="inlineStr">
        <is>
          <t>Karat</t>
        </is>
      </c>
      <c r="D10" t="inlineStr">
        <is>
          <t>Buy Price/g</t>
        </is>
      </c>
      <c r="E10" t="inlineStr">
        <is>
          <t>Current Price/g</t>
        </is>
      </c>
      <c r="F10" t="inlineStr">
        <is>
          <t>Value</t>
        </is>
      </c>
      <c r="G10" t="inlineStr">
        <is>
          <t>Profit</t>
        </is>
      </c>
      <c r="H10" t="inlineStr">
        <is>
          <t>Currency</t>
        </is>
      </c>
    </row>
    <row r="11">
      <c r="A11" t="inlineStr">
        <is>
          <t>jewels</t>
        </is>
      </c>
      <c r="B11" t="n">
        <v>750</v>
      </c>
      <c r="C11" t="inlineStr">
        <is>
          <t>22K</t>
        </is>
      </c>
      <c r="D11" t="n">
        <v>89</v>
      </c>
      <c r="E11" t="n">
        <v>133.56</v>
      </c>
      <c r="F11" t="n">
        <v>100168.75</v>
      </c>
      <c r="G11" t="n">
        <v>33418.75</v>
      </c>
      <c r="H11" t="inlineStr">
        <is>
          <t>EUR</t>
        </is>
      </c>
    </row>
    <row r="12"/>
    <row r="13">
      <c r="A13">
        <f>== Physical Silver ===</f>
        <v/>
      </c>
    </row>
    <row r="14">
      <c r="A14" t="inlineStr">
        <is>
          <t>Description</t>
        </is>
      </c>
      <c r="B14" t="inlineStr">
        <is>
          <t>Weight (g)</t>
        </is>
      </c>
      <c r="C14" t="inlineStr">
        <is>
          <t>Purity (%)</t>
        </is>
      </c>
      <c r="D14" t="inlineStr">
        <is>
          <t>Buy Price/g</t>
        </is>
      </c>
      <c r="E14" t="inlineStr">
        <is>
          <t>Current Price/g</t>
        </is>
      </c>
      <c r="F14" t="inlineStr">
        <is>
          <t>Value</t>
        </is>
      </c>
      <c r="G14" t="inlineStr">
        <is>
          <t>Profit</t>
        </is>
      </c>
      <c r="H14" t="inlineStr">
        <is>
          <t>Currency</t>
        </is>
      </c>
    </row>
    <row r="15">
      <c r="A15" t="inlineStr">
        <is>
          <t>jewels</t>
        </is>
      </c>
      <c r="B15" t="n">
        <v>20</v>
      </c>
      <c r="C15" t="n">
        <v>99.90000000000001</v>
      </c>
      <c r="D15" t="n">
        <v>1</v>
      </c>
      <c r="E15" t="n">
        <v>2.41</v>
      </c>
      <c r="F15" t="n">
        <v>48.15</v>
      </c>
      <c r="G15" t="n">
        <v>28.15</v>
      </c>
      <c r="H15" t="inlineStr">
        <is>
          <t>EUR</t>
        </is>
      </c>
    </row>
    <row r="16"/>
    <row r="17">
      <c r="A17">
        <f>== Cash &amp; Other ===</f>
        <v/>
      </c>
    </row>
    <row r="18">
      <c r="A18" t="inlineStr">
        <is>
          <t>Description</t>
        </is>
      </c>
      <c r="B18" t="inlineStr">
        <is>
          <t>Amount</t>
        </is>
      </c>
      <c r="C18" t="inlineStr">
        <is>
          <t>Currency</t>
        </is>
      </c>
    </row>
    <row r="19">
      <c r="A19" t="inlineStr">
        <is>
          <t>n26</t>
        </is>
      </c>
      <c r="B19" t="n">
        <v>1885</v>
      </c>
      <c r="C19" t="inlineStr">
        <is>
          <t>EUR</t>
        </is>
      </c>
    </row>
    <row r="20"/>
    <row r="21">
      <c r="A21">
        <f>== Summary ===</f>
        <v/>
      </c>
    </row>
    <row r="22">
      <c r="A22" t="inlineStr">
        <is>
          <t>Category</t>
        </is>
      </c>
      <c r="B22" t="inlineStr">
        <is>
          <t>Value</t>
        </is>
      </c>
      <c r="C22" t="inlineStr">
        <is>
          <t>Currency</t>
        </is>
      </c>
    </row>
    <row r="23">
      <c r="A23" t="inlineStr">
        <is>
          <t>ETFs</t>
        </is>
      </c>
      <c r="B23" t="n">
        <v>2252.16</v>
      </c>
      <c r="C23" t="inlineStr">
        <is>
          <t>EUR</t>
        </is>
      </c>
    </row>
    <row r="24">
      <c r="A24" t="inlineStr">
        <is>
          <t>Crypto</t>
        </is>
      </c>
      <c r="B24" t="n">
        <v>0</v>
      </c>
      <c r="C24" t="inlineStr">
        <is>
          <t>EUR</t>
        </is>
      </c>
    </row>
    <row r="25">
      <c r="A25" t="inlineStr">
        <is>
          <t>Stocks</t>
        </is>
      </c>
      <c r="B25" t="n">
        <v>0</v>
      </c>
      <c r="C25" t="inlineStr">
        <is>
          <t>EUR</t>
        </is>
      </c>
    </row>
    <row r="26">
      <c r="A26" t="inlineStr">
        <is>
          <t>Physical Gold</t>
        </is>
      </c>
      <c r="B26" t="n">
        <v>100168.75</v>
      </c>
      <c r="C26" t="inlineStr">
        <is>
          <t>EUR</t>
        </is>
      </c>
    </row>
    <row r="27">
      <c r="A27" t="inlineStr">
        <is>
          <t>Physical Silver</t>
        </is>
      </c>
      <c r="B27" t="n">
        <v>48.15</v>
      </c>
      <c r="C27" t="inlineStr">
        <is>
          <t>EUR</t>
        </is>
      </c>
    </row>
    <row r="28">
      <c r="A28" t="inlineStr">
        <is>
          <t>Cash &amp; Other</t>
        </is>
      </c>
      <c r="B28" t="n">
        <v>1885</v>
      </c>
      <c r="C28" t="inlineStr">
        <is>
          <t>EUR</t>
        </is>
      </c>
    </row>
    <row r="29">
      <c r="A29" t="inlineStr">
        <is>
          <t>Total Assets</t>
        </is>
      </c>
      <c r="B29" t="n">
        <v>104354.06</v>
      </c>
      <c r="C29" t="inlineStr">
        <is>
          <t>EUR</t>
        </is>
      </c>
    </row>
    <row r="30">
      <c r="A30" t="inlineStr">
        <is>
          <t>Liabilities</t>
        </is>
      </c>
      <c r="B30" t="n">
        <v>0</v>
      </c>
      <c r="C30" t="inlineStr">
        <is>
          <t>EUR</t>
        </is>
      </c>
    </row>
    <row r="31">
      <c r="A31" t="inlineStr">
        <is>
          <t>Net Wealth</t>
        </is>
      </c>
      <c r="B31" t="n">
        <v>104354.06</v>
      </c>
      <c r="C31" t="inlineStr">
        <is>
          <t>EUR</t>
        </is>
      </c>
    </row>
    <row r="32">
      <c r="A32" t="inlineStr">
        <is>
          <t>Nisab Threshold</t>
        </is>
      </c>
      <c r="B32" t="n">
        <v>12745.84</v>
      </c>
      <c r="C32" t="inlineStr">
        <is>
          <t>EUR</t>
        </is>
      </c>
    </row>
    <row r="33">
      <c r="A33" t="inlineStr">
        <is>
          <t>Above Nisab?</t>
        </is>
      </c>
      <c r="B33" t="inlineStr">
        <is>
          <t>Yes</t>
        </is>
      </c>
    </row>
    <row r="34">
      <c r="A34" t="inlineStr">
        <is>
          <t>Zakat Due (2.5%)</t>
        </is>
      </c>
      <c r="B34" t="n">
        <v>2608.85</v>
      </c>
      <c r="C34" t="inlineStr">
        <is>
          <t>EUR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1" customWidth="1" min="3" max="3"/>
    <col width="14" customWidth="1" min="4" max="4"/>
    <col width="10" customWidth="1" min="5" max="5"/>
  </cols>
  <sheetData>
    <row r="1">
      <c r="A1" t="inlineStr">
        <is>
          <t>Combined Zakat Summary</t>
        </is>
      </c>
    </row>
    <row r="2">
      <c r="A2" t="inlineStr">
        <is>
          <t>Exported: 3/2/2026, 5:28:29 PM</t>
        </is>
      </c>
    </row>
    <row r="3">
      <c r="A3" t="inlineStr">
        <is>
          <t>Currency: EUR</t>
        </is>
      </c>
    </row>
    <row r="4"/>
    <row r="5">
      <c r="A5" t="inlineStr">
        <is>
          <t>Member</t>
        </is>
      </c>
      <c r="B5" t="inlineStr">
        <is>
          <t>Net Wealth</t>
        </is>
      </c>
      <c r="C5" t="inlineStr">
        <is>
          <t>Zakat Due</t>
        </is>
      </c>
      <c r="D5" t="inlineStr">
        <is>
          <t>Above Nisab?</t>
        </is>
      </c>
      <c r="E5" t="inlineStr">
        <is>
          <t>Currency</t>
        </is>
      </c>
    </row>
    <row r="6">
      <c r="A6" t="inlineStr">
        <is>
          <t>Siddiq</t>
        </is>
      </c>
      <c r="B6" t="n">
        <v>24232.84</v>
      </c>
      <c r="C6" t="n">
        <v>605.8200000000001</v>
      </c>
      <c r="D6" t="inlineStr">
        <is>
          <t>Yes</t>
        </is>
      </c>
      <c r="E6" t="inlineStr">
        <is>
          <t>EUR</t>
        </is>
      </c>
    </row>
    <row r="7">
      <c r="A7" t="inlineStr">
        <is>
          <t>Zayyan</t>
        </is>
      </c>
      <c r="B7" t="n">
        <v>9957.450000000001</v>
      </c>
      <c r="C7" t="n">
        <v>0</v>
      </c>
      <c r="D7" t="inlineStr">
        <is>
          <t>No</t>
        </is>
      </c>
      <c r="E7" t="inlineStr">
        <is>
          <t>EUR</t>
        </is>
      </c>
    </row>
    <row r="8">
      <c r="A8" t="inlineStr">
        <is>
          <t>Fahima</t>
        </is>
      </c>
      <c r="B8" t="n">
        <v>104354.06</v>
      </c>
      <c r="C8" t="n">
        <v>2608.85</v>
      </c>
      <c r="D8" t="inlineStr">
        <is>
          <t>Yes</t>
        </is>
      </c>
      <c r="E8" t="inlineStr">
        <is>
          <t>EUR</t>
        </is>
      </c>
    </row>
    <row r="9"/>
    <row r="10">
      <c r="A10" t="inlineStr">
        <is>
          <t>TOTAL</t>
        </is>
      </c>
      <c r="B10" t="n">
        <v>138544.35</v>
      </c>
      <c r="C10" t="n">
        <v>3214.67</v>
      </c>
      <c r="E10" t="inlineStr">
        <is>
          <t>EUR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2026-03-11T16:01:30Z</dcterms:created>
  <dcterms:modified xmlns:dcterms="http://purl.org/dc/terms/" xmlns:xsi="http://www.w3.org/2001/XMLSchema-instance" xsi:type="dcterms:W3CDTF">2026-03-11T16:01:30Z</dcterms:modified>
</cp:coreProperties>
</file>