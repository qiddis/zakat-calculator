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hmed" sheetId="1" state="visible" r:id="rId1"/>
    <sheet xmlns:r="http://schemas.openxmlformats.org/officeDocument/2006/relationships" name="Fatim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3" customWidth="1" min="1" max="1"/>
    <col width="25" customWidth="1" min="2" max="2"/>
    <col width="12" customWidth="1" min="3" max="3"/>
    <col width="13" customWidth="1" min="4" max="4"/>
    <col width="17" customWidth="1" min="5" max="5"/>
    <col width="10" customWidth="1" min="6" max="6"/>
    <col width="10" customWidth="1" min="7" max="7"/>
    <col width="10" customWidth="1" min="8" max="8"/>
  </cols>
  <sheetData>
    <row r="1">
      <c r="A1" t="inlineStr">
        <is>
          <t>Zakat Calculator - Ahmed</t>
        </is>
      </c>
    </row>
    <row r="2">
      <c r="A2" t="inlineStr">
        <is>
          <t>Exported: 11/03/2026, 14:30:00</t>
        </is>
      </c>
    </row>
    <row r="3">
      <c r="A3" t="inlineStr">
        <is>
          <t>Currency: EUR</t>
        </is>
      </c>
    </row>
    <row r="4"/>
    <row r="5">
      <c r="A5">
        <f>== ETFs ===</f>
        <v/>
      </c>
    </row>
    <row r="6">
      <c r="A6" t="inlineStr">
        <is>
          <t>Symbol</t>
        </is>
      </c>
      <c r="B6" t="inlineStr">
        <is>
          <t>Name</t>
        </is>
      </c>
      <c r="C6" t="inlineStr">
        <is>
          <t>Units</t>
        </is>
      </c>
      <c r="D6" t="inlineStr">
        <is>
          <t>Avg Price</t>
        </is>
      </c>
      <c r="E6" t="inlineStr">
        <is>
          <t>Current Price</t>
        </is>
      </c>
      <c r="F6" t="inlineStr">
        <is>
          <t>Value</t>
        </is>
      </c>
      <c r="G6" t="inlineStr">
        <is>
          <t>Profit</t>
        </is>
      </c>
      <c r="H6" t="inlineStr">
        <is>
          <t>Currency</t>
        </is>
      </c>
    </row>
    <row r="7">
      <c r="A7" t="inlineStr">
        <is>
          <t>VWCE.DE</t>
        </is>
      </c>
      <c r="B7" t="inlineStr">
        <is>
          <t>Vanguard FTSE All-World</t>
        </is>
      </c>
      <c r="C7" t="n">
        <v>50</v>
      </c>
      <c r="D7" t="n">
        <v>105.2</v>
      </c>
      <c r="E7" t="n">
        <v>118.45</v>
      </c>
      <c r="F7" t="n">
        <v>5922.5</v>
      </c>
      <c r="G7" t="n">
        <v>662.5</v>
      </c>
      <c r="H7" t="inlineStr">
        <is>
          <t>EUR</t>
        </is>
      </c>
    </row>
    <row r="8">
      <c r="A8" t="inlineStr">
        <is>
          <t>ISAC.L</t>
        </is>
      </c>
      <c r="B8" t="inlineStr">
        <is>
          <t>iShares MSCI ACWI</t>
        </is>
      </c>
      <c r="C8" t="n">
        <v>100</v>
      </c>
      <c r="D8" t="n">
        <v>62.3</v>
      </c>
      <c r="E8" t="n">
        <v>68.90000000000001</v>
      </c>
      <c r="F8" t="n">
        <v>6890</v>
      </c>
      <c r="G8" t="n">
        <v>660</v>
      </c>
      <c r="H8" t="inlineStr">
        <is>
          <t>EUR</t>
        </is>
      </c>
    </row>
    <row r="9"/>
    <row r="10">
      <c r="A10">
        <f>== Stocks ===</f>
        <v/>
      </c>
    </row>
    <row r="11">
      <c r="A11" t="inlineStr">
        <is>
          <t>Symbol</t>
        </is>
      </c>
      <c r="B11" t="inlineStr">
        <is>
          <t>Name</t>
        </is>
      </c>
      <c r="C11" t="inlineStr">
        <is>
          <t>Units</t>
        </is>
      </c>
      <c r="D11" t="inlineStr">
        <is>
          <t>Avg Price</t>
        </is>
      </c>
      <c r="E11" t="inlineStr">
        <is>
          <t>Current Price</t>
        </is>
      </c>
      <c r="F11" t="inlineStr">
        <is>
          <t>Value</t>
        </is>
      </c>
      <c r="G11" t="inlineStr">
        <is>
          <t>Profit</t>
        </is>
      </c>
      <c r="H11" t="inlineStr">
        <is>
          <t>Currency</t>
        </is>
      </c>
    </row>
    <row r="12">
      <c r="A12" t="inlineStr">
        <is>
          <t>MBG.DE</t>
        </is>
      </c>
      <c r="B12" t="inlineStr">
        <is>
          <t>Mercedes-Benz Group</t>
        </is>
      </c>
      <c r="C12" t="n">
        <v>30</v>
      </c>
      <c r="D12" t="n">
        <v>58.5</v>
      </c>
      <c r="E12" t="n">
        <v>72.3</v>
      </c>
      <c r="F12" t="n">
        <v>2169</v>
      </c>
      <c r="G12" t="n">
        <v>414</v>
      </c>
      <c r="H12" t="inlineStr">
        <is>
          <t>EUR</t>
        </is>
      </c>
    </row>
    <row r="13">
      <c r="A13" t="inlineStr">
        <is>
          <t>SAP.DE</t>
        </is>
      </c>
      <c r="B13" t="inlineStr">
        <is>
          <t>SAP SE</t>
        </is>
      </c>
      <c r="C13" t="n">
        <v>15</v>
      </c>
      <c r="D13" t="n">
        <v>145</v>
      </c>
      <c r="E13" t="n">
        <v>210.5</v>
      </c>
      <c r="F13" t="n">
        <v>3157.5</v>
      </c>
      <c r="G13" t="n">
        <v>982.5</v>
      </c>
      <c r="H13" t="inlineStr">
        <is>
          <t>EUR</t>
        </is>
      </c>
    </row>
    <row r="14"/>
    <row r="15">
      <c r="A15">
        <f>== Crypto ===</f>
        <v/>
      </c>
    </row>
    <row r="16">
      <c r="A16" t="inlineStr">
        <is>
          <t>Symbol</t>
        </is>
      </c>
      <c r="B16" t="inlineStr">
        <is>
          <t>Name</t>
        </is>
      </c>
      <c r="C16" t="inlineStr">
        <is>
          <t>Units</t>
        </is>
      </c>
      <c r="D16" t="inlineStr">
        <is>
          <t>Avg Price</t>
        </is>
      </c>
      <c r="E16" t="inlineStr">
        <is>
          <t>Current Price</t>
        </is>
      </c>
      <c r="F16" t="inlineStr">
        <is>
          <t>Value</t>
        </is>
      </c>
      <c r="G16" t="inlineStr">
        <is>
          <t>Profit</t>
        </is>
      </c>
      <c r="H16" t="inlineStr">
        <is>
          <t>Currency</t>
        </is>
      </c>
    </row>
    <row r="17">
      <c r="A17" t="inlineStr">
        <is>
          <t>BTC-USD</t>
        </is>
      </c>
      <c r="B17" t="inlineStr">
        <is>
          <t>Bitcoin</t>
        </is>
      </c>
      <c r="C17" t="n">
        <v>0.15</v>
      </c>
      <c r="D17" t="n">
        <v>42000</v>
      </c>
      <c r="E17" t="n">
        <v>68500</v>
      </c>
      <c r="F17" t="n">
        <v>10275</v>
      </c>
      <c r="G17" t="n">
        <v>3975</v>
      </c>
      <c r="H17" t="inlineStr">
        <is>
          <t>EUR</t>
        </is>
      </c>
    </row>
    <row r="18">
      <c r="A18" t="inlineStr">
        <is>
          <t>ETH-USD</t>
        </is>
      </c>
      <c r="B18" t="inlineStr">
        <is>
          <t>Ethereum</t>
        </is>
      </c>
      <c r="C18" t="n">
        <v>2.5</v>
      </c>
      <c r="D18" t="n">
        <v>2200</v>
      </c>
      <c r="E18" t="n">
        <v>3850</v>
      </c>
      <c r="F18" t="n">
        <v>9625</v>
      </c>
      <c r="G18" t="n">
        <v>4125</v>
      </c>
      <c r="H18" t="inlineStr">
        <is>
          <t>EUR</t>
        </is>
      </c>
    </row>
    <row r="19"/>
    <row r="20">
      <c r="A20">
        <f>== Physical Gold ===</f>
        <v/>
      </c>
    </row>
    <row r="21">
      <c r="A21" t="inlineStr">
        <is>
          <t>Description</t>
        </is>
      </c>
      <c r="B21" t="inlineStr">
        <is>
          <t>Weight (g)</t>
        </is>
      </c>
      <c r="C21" t="inlineStr">
        <is>
          <t>Karat</t>
        </is>
      </c>
      <c r="D21" t="inlineStr">
        <is>
          <t>Buy Price/g</t>
        </is>
      </c>
      <c r="E21" t="inlineStr">
        <is>
          <t>Current Price/g</t>
        </is>
      </c>
      <c r="F21" t="inlineStr">
        <is>
          <t>Value</t>
        </is>
      </c>
      <c r="G21" t="inlineStr">
        <is>
          <t>Profit</t>
        </is>
      </c>
      <c r="H21" t="inlineStr">
        <is>
          <t>Currency</t>
        </is>
      </c>
    </row>
    <row r="22">
      <c r="A22" t="inlineStr">
        <is>
          <t>Gold Chain 22K</t>
        </is>
      </c>
      <c r="B22" t="n">
        <v>25</v>
      </c>
      <c r="C22" t="inlineStr">
        <is>
          <t>22K</t>
        </is>
      </c>
      <c r="D22" t="n">
        <v>55</v>
      </c>
      <c r="E22" t="n">
        <v>78.5</v>
      </c>
      <c r="F22" t="n">
        <v>1962.5</v>
      </c>
      <c r="G22" t="n">
        <v>587.5</v>
      </c>
      <c r="H22" t="inlineStr">
        <is>
          <t>EUR</t>
        </is>
      </c>
    </row>
    <row r="23">
      <c r="A23" t="inlineStr">
        <is>
          <t>Gold Coins</t>
        </is>
      </c>
      <c r="B23" t="n">
        <v>50</v>
      </c>
      <c r="C23" t="inlineStr">
        <is>
          <t>22K</t>
        </is>
      </c>
      <c r="D23" t="n">
        <v>52</v>
      </c>
      <c r="E23" t="n">
        <v>78.5</v>
      </c>
      <c r="F23" t="n">
        <v>3925</v>
      </c>
      <c r="G23" t="n">
        <v>1325</v>
      </c>
      <c r="H23" t="inlineStr">
        <is>
          <t>EUR</t>
        </is>
      </c>
    </row>
    <row r="24">
      <c r="A24" t="inlineStr">
        <is>
          <t>Wedding Ring</t>
        </is>
      </c>
      <c r="B24" t="n">
        <v>8</v>
      </c>
      <c r="C24" t="inlineStr">
        <is>
          <t>22K</t>
        </is>
      </c>
      <c r="D24" t="n">
        <v>48</v>
      </c>
      <c r="E24" t="n">
        <v>78.5</v>
      </c>
      <c r="F24" t="n">
        <v>628</v>
      </c>
      <c r="G24" t="n">
        <v>244</v>
      </c>
      <c r="H24" t="inlineStr">
        <is>
          <t>EUR</t>
        </is>
      </c>
    </row>
    <row r="25"/>
    <row r="26">
      <c r="A26">
        <f>== Physical Silver ===</f>
        <v/>
      </c>
    </row>
    <row r="27">
      <c r="A27" t="inlineStr">
        <is>
          <t>Description</t>
        </is>
      </c>
      <c r="B27" t="inlineStr">
        <is>
          <t>Weight (g)</t>
        </is>
      </c>
      <c r="C27" t="inlineStr">
        <is>
          <t>Purity (%)</t>
        </is>
      </c>
      <c r="D27" t="inlineStr">
        <is>
          <t>Buy Price/g</t>
        </is>
      </c>
      <c r="E27" t="inlineStr">
        <is>
          <t>Current Price/g</t>
        </is>
      </c>
      <c r="F27" t="inlineStr">
        <is>
          <t>Value</t>
        </is>
      </c>
      <c r="G27" t="inlineStr">
        <is>
          <t>Profit</t>
        </is>
      </c>
      <c r="H27" t="inlineStr">
        <is>
          <t>Currency</t>
        </is>
      </c>
    </row>
    <row r="28">
      <c r="A28" t="inlineStr">
        <is>
          <t>Silver Bars</t>
        </is>
      </c>
      <c r="B28" t="n">
        <v>500</v>
      </c>
      <c r="C28" t="n">
        <v>99.90000000000001</v>
      </c>
      <c r="D28" t="n">
        <v>0.65</v>
      </c>
      <c r="E28" t="n">
        <v>0.95</v>
      </c>
      <c r="F28" t="n">
        <v>475</v>
      </c>
      <c r="G28" t="n">
        <v>150</v>
      </c>
      <c r="H28" t="inlineStr">
        <is>
          <t>EUR</t>
        </is>
      </c>
    </row>
    <row r="29"/>
    <row r="30">
      <c r="A30">
        <f>== Cash &amp; Other ===</f>
        <v/>
      </c>
    </row>
    <row r="31">
      <c r="A31" t="inlineStr">
        <is>
          <t>Description</t>
        </is>
      </c>
      <c r="B31" t="inlineStr">
        <is>
          <t>Amount</t>
        </is>
      </c>
      <c r="C31" t="inlineStr">
        <is>
          <t>Currency</t>
        </is>
      </c>
    </row>
    <row r="32">
      <c r="A32" t="inlineStr">
        <is>
          <t>Savings Account (Deutsche Bank)</t>
        </is>
      </c>
      <c r="B32" t="n">
        <v>15000</v>
      </c>
      <c r="C32" t="inlineStr">
        <is>
          <t>EUR</t>
        </is>
      </c>
    </row>
    <row r="33">
      <c r="A33" t="inlineStr">
        <is>
          <t>Emergency Fund</t>
        </is>
      </c>
      <c r="B33" t="n">
        <v>5000</v>
      </c>
      <c r="C33" t="inlineStr">
        <is>
          <t>EUR</t>
        </is>
      </c>
    </row>
    <row r="34">
      <c r="A34" t="inlineStr">
        <is>
          <t>Cash at Home</t>
        </is>
      </c>
      <c r="B34" t="n">
        <v>800</v>
      </c>
      <c r="C34" t="inlineStr">
        <is>
          <t>EUR</t>
        </is>
      </c>
    </row>
    <row r="35"/>
    <row r="36">
      <c r="A36">
        <f>== Liabilities ===</f>
        <v/>
      </c>
    </row>
    <row r="37">
      <c r="A37" t="inlineStr">
        <is>
          <t>Description</t>
        </is>
      </c>
      <c r="B37" t="inlineStr">
        <is>
          <t>Amount</t>
        </is>
      </c>
      <c r="C37" t="inlineStr">
        <is>
          <t>Currency</t>
        </is>
      </c>
    </row>
    <row r="38">
      <c r="A38" t="inlineStr">
        <is>
          <t>Car Loan (Monthly)</t>
        </is>
      </c>
      <c r="B38" t="n">
        <v>350</v>
      </c>
      <c r="C38" t="inlineStr">
        <is>
          <t>EUR</t>
        </is>
      </c>
    </row>
    <row r="39">
      <c r="A39" t="inlineStr">
        <is>
          <t>Credit Card Balance</t>
        </is>
      </c>
      <c r="B39" t="n">
        <v>1200</v>
      </c>
      <c r="C39" t="inlineStr">
        <is>
          <t>EUR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13" customWidth="1" min="4" max="4"/>
    <col width="17" customWidth="1" min="5" max="5"/>
    <col width="10" customWidth="1" min="6" max="6"/>
    <col width="10" customWidth="1" min="7" max="7"/>
    <col width="10" customWidth="1" min="8" max="8"/>
  </cols>
  <sheetData>
    <row r="1">
      <c r="A1" t="inlineStr">
        <is>
          <t>Zakat Calculator - Fatima</t>
        </is>
      </c>
    </row>
    <row r="2">
      <c r="A2" t="inlineStr">
        <is>
          <t>Exported: 11/03/2026, 14:30:00</t>
        </is>
      </c>
    </row>
    <row r="3">
      <c r="A3" t="inlineStr">
        <is>
          <t>Currency: EUR</t>
        </is>
      </c>
    </row>
    <row r="4"/>
    <row r="5">
      <c r="A5">
        <f>== Physical Gold ===</f>
        <v/>
      </c>
    </row>
    <row r="6">
      <c r="A6" t="inlineStr">
        <is>
          <t>Description</t>
        </is>
      </c>
      <c r="B6" t="inlineStr">
        <is>
          <t>Weight (g)</t>
        </is>
      </c>
      <c r="C6" t="inlineStr">
        <is>
          <t>Karat</t>
        </is>
      </c>
      <c r="D6" t="inlineStr">
        <is>
          <t>Buy Price/g</t>
        </is>
      </c>
      <c r="E6" t="inlineStr">
        <is>
          <t>Current Price/g</t>
        </is>
      </c>
      <c r="F6" t="inlineStr">
        <is>
          <t>Value</t>
        </is>
      </c>
      <c r="G6" t="inlineStr">
        <is>
          <t>Profit</t>
        </is>
      </c>
      <c r="H6" t="inlineStr">
        <is>
          <t>Currency</t>
        </is>
      </c>
    </row>
    <row r="7">
      <c r="A7" t="inlineStr">
        <is>
          <t>Gold Necklace Set</t>
        </is>
      </c>
      <c r="B7" t="n">
        <v>45</v>
      </c>
      <c r="C7" t="inlineStr">
        <is>
          <t>22K</t>
        </is>
      </c>
      <c r="D7" t="n">
        <v>50</v>
      </c>
      <c r="E7" t="n">
        <v>78.5</v>
      </c>
      <c r="F7" t="n">
        <v>3532.5</v>
      </c>
      <c r="G7" t="n">
        <v>1282.5</v>
      </c>
      <c r="H7" t="inlineStr">
        <is>
          <t>EUR</t>
        </is>
      </c>
    </row>
    <row r="8">
      <c r="A8" t="inlineStr">
        <is>
          <t>Gold Bangles (4 pcs)</t>
        </is>
      </c>
      <c r="B8" t="n">
        <v>80</v>
      </c>
      <c r="C8" t="inlineStr">
        <is>
          <t>22K</t>
        </is>
      </c>
      <c r="D8" t="n">
        <v>53</v>
      </c>
      <c r="E8" t="n">
        <v>78.5</v>
      </c>
      <c r="F8" t="n">
        <v>6280</v>
      </c>
      <c r="G8" t="n">
        <v>2040</v>
      </c>
      <c r="H8" t="inlineStr">
        <is>
          <t>EUR</t>
        </is>
      </c>
    </row>
    <row r="9">
      <c r="A9" t="inlineStr">
        <is>
          <t>Gold Earrings</t>
        </is>
      </c>
      <c r="B9" t="n">
        <v>12</v>
      </c>
      <c r="C9" t="inlineStr">
        <is>
          <t>22K</t>
        </is>
      </c>
      <c r="D9" t="n">
        <v>56</v>
      </c>
      <c r="E9" t="n">
        <v>78.5</v>
      </c>
      <c r="F9" t="n">
        <v>942</v>
      </c>
      <c r="G9" t="n">
        <v>270</v>
      </c>
      <c r="H9" t="inlineStr">
        <is>
          <t>EUR</t>
        </is>
      </c>
    </row>
    <row r="10">
      <c r="A10" t="inlineStr">
        <is>
          <t>Mahr Gold Set</t>
        </is>
      </c>
      <c r="B10" t="n">
        <v>100</v>
      </c>
      <c r="C10" t="inlineStr">
        <is>
          <t>22K</t>
        </is>
      </c>
      <c r="D10" t="n">
        <v>45</v>
      </c>
      <c r="E10" t="n">
        <v>78.5</v>
      </c>
      <c r="F10" t="n">
        <v>7850</v>
      </c>
      <c r="G10" t="n">
        <v>3350</v>
      </c>
      <c r="H10" t="inlineStr">
        <is>
          <t>EUR</t>
        </is>
      </c>
    </row>
    <row r="11"/>
    <row r="12">
      <c r="A12">
        <f>== Cash &amp; Other ===</f>
        <v/>
      </c>
    </row>
    <row r="13">
      <c r="A13" t="inlineStr">
        <is>
          <t>Description</t>
        </is>
      </c>
      <c r="B13" t="inlineStr">
        <is>
          <t>Amount</t>
        </is>
      </c>
      <c r="C13" t="inlineStr">
        <is>
          <t>Currency</t>
        </is>
      </c>
    </row>
    <row r="14">
      <c r="A14" t="inlineStr">
        <is>
          <t>Personal Savings</t>
        </is>
      </c>
      <c r="B14" t="n">
        <v>8500</v>
      </c>
      <c r="C14" t="inlineStr">
        <is>
          <t>EUR</t>
        </is>
      </c>
    </row>
    <row r="15">
      <c r="A15" t="inlineStr">
        <is>
          <t>Fixed Deposit</t>
        </is>
      </c>
      <c r="B15" t="n">
        <v>10000</v>
      </c>
      <c r="C15" t="inlineStr">
        <is>
          <t>EUR</t>
        </is>
      </c>
    </row>
    <row r="16"/>
    <row r="17">
      <c r="A17">
        <f>== Liabilities ===</f>
        <v/>
      </c>
    </row>
    <row r="18">
      <c r="A18" t="inlineStr">
        <is>
          <t>Description</t>
        </is>
      </c>
      <c r="B18" t="inlineStr">
        <is>
          <t>Amount</t>
        </is>
      </c>
      <c r="C18" t="inlineStr">
        <is>
          <t>Currency</t>
        </is>
      </c>
    </row>
    <row r="19">
      <c r="A19" t="inlineStr">
        <is>
          <t>Personal Loan</t>
        </is>
      </c>
      <c r="B19" t="n">
        <v>2000</v>
      </c>
      <c r="C19" t="inlineStr">
        <is>
          <t>EUR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2026-03-11T15:38:38Z</dcterms:created>
  <dcterms:modified xmlns:dcterms="http://purl.org/dc/terms/" xmlns:xsi="http://www.w3.org/2001/XMLSchema-instance" xsi:type="dcterms:W3CDTF">2026-03-11T15:38:38Z</dcterms:modified>
</cp:coreProperties>
</file>